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a\Downloads\marketing-analysis\"/>
    </mc:Choice>
  </mc:AlternateContent>
  <xr:revisionPtr revIDLastSave="0" documentId="13_ncr:1_{EA89BA24-35DD-4750-95F3-423B43AAB341}" xr6:coauthVersionLast="47" xr6:coauthVersionMax="47" xr10:uidLastSave="{00000000-0000-0000-0000-000000000000}"/>
  <bookViews>
    <workbookView xWindow="-108" yWindow="-108" windowWidth="23256" windowHeight="13176" xr2:uid="{326AF44F-C692-4BEC-8253-CD4292E7D54C}"/>
  </bookViews>
  <sheets>
    <sheet name="Cost_vs_Value" sheetId="5" r:id="rId1"/>
    <sheet name="Profitability_Analysis" sheetId="4" r:id="rId2"/>
    <sheet name="Conversion_Analysis" sheetId="2" r:id="rId3"/>
    <sheet name="Data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<sst xmlns="http://schemas.openxmlformats.org/spreadsheetml/2006/main" count="123" uniqueCount="28">
  <si>
    <t>banner_partner</t>
  </si>
  <si>
    <t>high</t>
  </si>
  <si>
    <t>low</t>
  </si>
  <si>
    <t>mid</t>
  </si>
  <si>
    <t>very high</t>
  </si>
  <si>
    <t>facebook_lal</t>
  </si>
  <si>
    <t>facebook_retargeting</t>
  </si>
  <si>
    <t>facebook_tier1</t>
  </si>
  <si>
    <t>facebOOK_tier2</t>
  </si>
  <si>
    <t>google_hot</t>
  </si>
  <si>
    <t>google_wide</t>
  </si>
  <si>
    <t>instagram_blogger</t>
  </si>
  <si>
    <t>instagram_tier1</t>
  </si>
  <si>
    <t>instagram_tier2</t>
  </si>
  <si>
    <t>youtube_blogger</t>
  </si>
  <si>
    <t>campaign_name</t>
  </si>
  <si>
    <t>spend_bucket</t>
  </si>
  <si>
    <t>bucket_count</t>
  </si>
  <si>
    <t>clickthrough_rate</t>
  </si>
  <si>
    <t>lead_rate</t>
  </si>
  <si>
    <t>conversion_rate</t>
  </si>
  <si>
    <t>cost_per_acquisition</t>
  </si>
  <si>
    <t>roi</t>
  </si>
  <si>
    <t>avg_order_value</t>
  </si>
  <si>
    <t>Row Labels</t>
  </si>
  <si>
    <t>Grand Total</t>
  </si>
  <si>
    <t>Sum of roi</t>
  </si>
  <si>
    <t>Average of 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</si>
</sst>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 xr9:uid="{9DDD044D-0F7A-44AC-A508-AAD84FAD09F1}">
      <tableStyleElement type="firstHeaderCell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Cost</a:t>
            </a:r>
            <a:r>
              <a:rPr lang="en-US" b="1" baseline="0"/>
              <a:t> vs Value Across Campaigns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Cost_vs_Value!$C$1</c:f>
              <c:strCache>
                <c:ptCount val="1"/>
                <c:pt idx="0">
                  <c:v>avg_order_value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4BA30B0-667D-446B-B9CD-8690BD7C3C5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B35-4515-8EC7-AB767FC99D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04BB70-F5F8-478A-94A9-8D999D0FAC4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B35-4515-8EC7-AB767FC99D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5F4E4FD-BF35-4ED8-8590-318C1AAEBF9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B35-4515-8EC7-AB767FC99D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CF2141F-F21F-48A3-915C-44D48211CF5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B35-4515-8EC7-AB767FC99DF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42464D6-A347-4DB6-A952-F04508C8D64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B35-4515-8EC7-AB767FC99DF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F2E6E5A-E3CF-43C4-8FFF-097511AA4EB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B35-4515-8EC7-AB767FC99DF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46FCD27-8E99-499C-BE14-7C62806F0FA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B35-4515-8EC7-AB767FC99DF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F95B84B-FD63-4A69-8F7C-7CA2844C52E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B35-4515-8EC7-AB767FC99DF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B76DEE5-9577-4D97-ADB9-B14E3161B64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B35-4515-8EC7-AB767FC99DF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F9BA51A-80A9-49A0-B905-DBEFEC04B3D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B35-4515-8EC7-AB767FC99DF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66BDB9-3AE9-4669-B21E-5EFE24D2706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B35-4515-8EC7-AB767FC99D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Cost_vs_Value!$B$2:$B$12</c:f>
              <c:numCache>
                <c:formatCode>General</c:formatCode>
                <c:ptCount val="11"/>
                <c:pt idx="0">
                  <c:v>5410.95670886076</c:v>
                </c:pt>
                <c:pt idx="1">
                  <c:v>6822.4868749999996</c:v>
                </c:pt>
                <c:pt idx="2">
                  <c:v>4270.4582206405603</c:v>
                </c:pt>
                <c:pt idx="3">
                  <c:v>4132.3607129798902</c:v>
                </c:pt>
                <c:pt idx="4">
                  <c:v>2120.1340177638399</c:v>
                </c:pt>
                <c:pt idx="5">
                  <c:v>3384.2707783641099</c:v>
                </c:pt>
                <c:pt idx="6">
                  <c:v>3406.2420127795499</c:v>
                </c:pt>
                <c:pt idx="7">
                  <c:v>2467.2798148148099</c:v>
                </c:pt>
                <c:pt idx="8">
                  <c:v>8986.18789115646</c:v>
                </c:pt>
                <c:pt idx="9">
                  <c:v>3861.2432454545401</c:v>
                </c:pt>
                <c:pt idx="10">
                  <c:v>3209.88171136653</c:v>
                </c:pt>
              </c:numCache>
            </c:numRef>
          </c:xVal>
          <c:yVal>
            <c:numRef>
              <c:f>Cost_vs_Value!$C$2:$C$12</c:f>
              <c:numCache>
                <c:formatCode>General</c:formatCode>
                <c:ptCount val="11"/>
                <c:pt idx="0">
                  <c:v>5055.7215189873396</c:v>
                </c:pt>
                <c:pt idx="1">
                  <c:v>5033.875</c:v>
                </c:pt>
                <c:pt idx="2">
                  <c:v>7849.6334519572902</c:v>
                </c:pt>
                <c:pt idx="3">
                  <c:v>2740.9835466179102</c:v>
                </c:pt>
                <c:pt idx="4">
                  <c:v>7999.7037617554797</c:v>
                </c:pt>
                <c:pt idx="5">
                  <c:v>5994.8865435356201</c:v>
                </c:pt>
                <c:pt idx="6">
                  <c:v>2142.0447284345</c:v>
                </c:pt>
                <c:pt idx="7">
                  <c:v>4971.4722222222199</c:v>
                </c:pt>
                <c:pt idx="8">
                  <c:v>1021.2006802721</c:v>
                </c:pt>
                <c:pt idx="9">
                  <c:v>5280.4127272727201</c:v>
                </c:pt>
                <c:pt idx="10">
                  <c:v>3929.09323116219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Cost_vs_Value!$A$2:$A$12</c15:f>
                <c15:dlblRangeCache>
                  <c:ptCount val="11"/>
                  <c:pt idx="0">
                    <c:v>facebook_tier1</c:v>
                  </c:pt>
                  <c:pt idx="1">
                    <c:v>facebOOK_tier2</c:v>
                  </c:pt>
                  <c:pt idx="2">
                    <c:v>google_hot</c:v>
                  </c:pt>
                  <c:pt idx="3">
                    <c:v>google_wide</c:v>
                  </c:pt>
                  <c:pt idx="4">
                    <c:v>youtube_blogger</c:v>
                  </c:pt>
                  <c:pt idx="5">
                    <c:v>instagram_tier1</c:v>
                  </c:pt>
                  <c:pt idx="6">
                    <c:v>instagram_tier2</c:v>
                  </c:pt>
                  <c:pt idx="7">
                    <c:v>facebook_retargeting</c:v>
                  </c:pt>
                  <c:pt idx="8">
                    <c:v>facebook_lal</c:v>
                  </c:pt>
                  <c:pt idx="9">
                    <c:v>instagram_blogger</c:v>
                  </c:pt>
                  <c:pt idx="10">
                    <c:v>banner_partner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B35-4515-8EC7-AB767FC99D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59607296"/>
        <c:axId val="759597216"/>
      </c:scatterChart>
      <c:valAx>
        <c:axId val="75960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</a:t>
                </a:r>
                <a:r>
                  <a:rPr lang="en-IN" baseline="0"/>
                  <a:t> </a:t>
                </a:r>
                <a:r>
                  <a:rPr lang="en-IN"/>
                  <a:t>per Acquisition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97216"/>
        <c:crosses val="autoZero"/>
        <c:crossBetween val="midCat"/>
      </c:valAx>
      <c:valAx>
        <c:axId val="7595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</a:t>
                </a:r>
                <a:r>
                  <a:rPr lang="en-IN"/>
                  <a:t>Order</a:t>
                </a:r>
                <a:r>
                  <a:rPr lang="en-IN" baseline="0"/>
                  <a:t> V</a:t>
                </a:r>
                <a:r>
                  <a:rPr lang="en-IN"/>
                  <a:t>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0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[marketing_analysis_visuals.xlsx]Profitability_Analysis!PivotTable11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Profitability</a:t>
            </a:r>
            <a:r>
              <a:rPr lang="en-US" b="1" baseline="0"/>
              <a:t> Comparison by Campaign</a:t>
            </a:r>
            <a:endParaRPr lang="en-US" b="1"/>
          </a:p>
        </c:rich>
      </c:tx>
      <c:layout>
        <c:manualLayout>
          <c:xMode val="edge"/>
          <c:yMode val="edge"/>
          <c:x val="0.24852304170101833"/>
          <c:y val="9.041081969530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Profitability_Analysis!$B$1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Profitability_Analysis!$A$2:$A$13</c:f>
              <c:strCache>
                <c:ptCount val="11"/>
                <c:pt idx="0">
                  <c:v>banner_partner</c:v>
                </c:pt>
                <c:pt idx="1">
                  <c:v>facebook_lal</c:v>
                </c:pt>
                <c:pt idx="2">
                  <c:v>facebook_retargeting</c:v>
                </c:pt>
                <c:pt idx="3">
                  <c:v>facebook_tier1</c:v>
                </c:pt>
                <c:pt idx="4">
                  <c:v>facebOOK_tier2</c:v>
                </c:pt>
                <c:pt idx="5">
                  <c:v>google_hot</c:v>
                </c:pt>
                <c:pt idx="6">
                  <c:v>google_wide</c:v>
                </c:pt>
                <c:pt idx="7">
                  <c:v>instagram_blogger</c:v>
                </c:pt>
                <c:pt idx="8">
                  <c:v>instagram_tier1</c:v>
                </c:pt>
                <c:pt idx="9">
                  <c:v>instagram_tier2</c:v>
                </c:pt>
                <c:pt idx="10">
                  <c:v>youtube_blogger</c:v>
                </c:pt>
              </c:strCache>
            </c:strRef>
          </c:cat>
          <c:val>
            <c:numRef>
              <c:f>Profitability_Analysis!$B$2:$B$13</c:f>
              <c:numCache>
                <c:formatCode>General</c:formatCode>
                <c:ptCount val="11"/>
                <c:pt idx="0">
                  <c:v>1.053992376006627</c:v>
                </c:pt>
                <c:pt idx="1">
                  <c:v>-3.4863145709937653</c:v>
                </c:pt>
                <c:pt idx="2">
                  <c:v>1.7884395967045021</c:v>
                </c:pt>
                <c:pt idx="3">
                  <c:v>-0.2883685794752297</c:v>
                </c:pt>
                <c:pt idx="4">
                  <c:v>-1.0135961430746421</c:v>
                </c:pt>
                <c:pt idx="5">
                  <c:v>2.55468536904687</c:v>
                </c:pt>
                <c:pt idx="6">
                  <c:v>-1.247343452983767</c:v>
                </c:pt>
                <c:pt idx="7">
                  <c:v>1.3609934189660631</c:v>
                </c:pt>
                <c:pt idx="8">
                  <c:v>3.2706915438784492</c:v>
                </c:pt>
                <c:pt idx="9">
                  <c:v>-1.074860157329167</c:v>
                </c:pt>
                <c:pt idx="10">
                  <c:v>10.955385089003121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4-484C-A7C5-6B481A959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461584"/>
        <c:axId val="629461104"/>
      </c:barChart>
      <c:catAx>
        <c:axId val="62946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Campaigns</a:t>
                </a:r>
              </a:p>
            </c:rich>
          </c:tx>
          <c:layout>
            <c:manualLayout>
              <c:xMode val="edge"/>
              <c:yMode val="edge"/>
              <c:x val="0.43833579447150067"/>
              <c:y val="0.829036596485034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61104"/>
        <c:crosses val="autoZero"/>
        <c:auto val="1"/>
        <c:lblAlgn val="ctr"/>
        <c:lblOffset val="100"/>
        <c:noMultiLvlLbl val="0"/>
      </c:catAx>
      <c:valAx>
        <c:axId val="62946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</a:t>
                </a:r>
                <a:r>
                  <a:rPr lang="en-IN" baseline="0"/>
                  <a:t> </a:t>
                </a:r>
                <a:r>
                  <a:rPr lang="en-IN"/>
                  <a:t>on</a:t>
                </a:r>
                <a:r>
                  <a:rPr lang="en-IN" baseline="0"/>
                  <a:t> Investment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8350169114663167E-2"/>
              <c:y val="0.25363771863892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6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[marketing_analysis_visuals.xlsx]Conversion_Analysis!PivotTable9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</a:t>
            </a:r>
            <a:r>
              <a:rPr lang="en-US" baseline="0"/>
              <a:t> Rate by Spend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Conversion_Analysis!$B$3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Conversion_Analysis!$A$4:$A$7</c:f>
              <c:strCache>
                <c:ptCount val="4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Conversion_Analysis!$B$4:$B$7</c:f>
              <c:numCache>
                <c:formatCode>General</c:formatCode>
                <c:ptCount val="4"/>
                <c:pt idx="0">
                  <c:v>0.1271181818181818</c:v>
                </c:pt>
                <c:pt idx="1">
                  <c:v>0.13381818181818184</c:v>
                </c:pt>
                <c:pt idx="2">
                  <c:v>0.12662999999999996</c:v>
                </c:pt>
                <c:pt idx="3">
                  <c:v>0.14915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6-4928-B434-0DB96265A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210688"/>
        <c:axId val="522207328"/>
      </c:barChart>
      <c:catAx>
        <c:axId val="52221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Spend</a:t>
                </a:r>
                <a:r>
                  <a:rPr lang="en-IN" baseline="0"/>
                  <a:t> B</a:t>
                </a:r>
                <a:r>
                  <a:rPr lang="en-IN"/>
                  <a:t>uckets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207328"/>
        <c:crosses val="autoZero"/>
        <c:auto val="1"/>
        <c:lblAlgn val="ctr"/>
        <c:lblOffset val="100"/>
        <c:noMultiLvlLbl val="0"/>
      </c:catAx>
      <c:valAx>
        <c:axId val="52220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Conversion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21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9292</xdr:colOff>
      <xdr:row>1</xdr:row>
      <xdr:rowOff>167267</xdr:rowOff>
    </xdr:from>
    <xdr:to>
      <xdr:col>16</xdr:col>
      <xdr:colOff>8562</xdr:colOff>
      <xdr:row>13</xdr:row>
      <xdr:rowOff>102741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DD0F0C-3FB5-B2D4-434E-B631F3025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517322</xdr:colOff>
      <xdr:row>1</xdr:row>
      <xdr:rowOff>13982</xdr:rowOff>
    </xdr:from>
    <xdr:to>
      <xdr:col>12</xdr:col>
      <xdr:colOff>601211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FD0AC-3ED9-1DCA-EB28-A50BCD3A5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13252</xdr:colOff>
      <xdr:row>2</xdr:row>
      <xdr:rowOff>6625</xdr:rowOff>
    </xdr:from>
    <xdr:to>
      <xdr:col>11</xdr:col>
      <xdr:colOff>6626</xdr:colOff>
      <xdr:row>17</xdr:row>
      <xdr:rowOff>172278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614B0-89D1-9D7D-45F6-5072C4FEE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a" refreshedDate="46110.440814583337" createdVersion="8" refreshedVersion="8" minRefreshableVersion="3" recordCount="40" xr:uid="{588D3AB5-E66E-43AF-8665-7EC65C839407}">
  <cacheSource type="worksheet">
    <worksheetSource name="Table1"/>
  </cacheSource>
  <cacheFields count="9">
    <cacheField name="campaign_name" numFmtId="0">
      <sharedItems count="11">
        <s v="banner_partner"/>
        <s v="facebook_lal"/>
        <s v="facebook_retargeting"/>
        <s v="facebook_tier1"/>
        <s v="facebOOK_tier2"/>
        <s v="google_hot"/>
        <s v="google_wide"/>
        <s v="instagram_blogger"/>
        <s v="instagram_tier1"/>
        <s v="instagram_tier2"/>
        <s v="youtube_blogger"/>
      </sharedItems>
    </cacheField>
    <cacheField name="spend_bucket" numFmtId="0">
      <sharedItems count="4">
        <s v="high"/>
        <s v="low"/>
        <s v="mid"/>
        <s v="very high"/>
      </sharedItems>
    </cacheField>
    <cacheField name="bucket_count" numFmtId="0">
      <sharedItems containsSemiMixedTypes="0" containsString="0" containsNumber="1" containsInteger="1" minValue="1" maxValue="27"/>
    </cacheField>
    <cacheField name="clickthrough_rate" numFmtId="0">
      <sharedItems containsSemiMixedTypes="0" containsString="0" containsNumber="1" minValue="1E-4" maxValue="3.2199999999999999E-2"/>
    </cacheField>
    <cacheField name="lead_rate" numFmtId="0">
      <sharedItems containsSemiMixedTypes="0" containsString="0" containsNumber="1" minValue="8.2000000000000007E-3" maxValue="3.3300000000000003E-2"/>
    </cacheField>
    <cacheField name="conversion_rate" numFmtId="0">
      <sharedItems containsSemiMixedTypes="0" containsString="0" containsNumber="1" minValue="1.8499999999999999E-2" maxValue="0.21540000000000001"/>
    </cacheField>
    <cacheField name="cost_per_acquisition" numFmtId="0">
      <sharedItems containsSemiMixedTypes="0" containsString="0" containsNumber="1" minValue="1906.0186046511601" maxValue="9785.6666666666606"/>
    </cacheField>
    <cacheField name="avg_order_value" numFmtId="0">
      <sharedItems containsSemiMixedTypes="0" containsString="0" containsNumber="1" minValue="769.11627906976696" maxValue="8190.1801242235997"/>
    </cacheField>
    <cacheField name="roi" numFmtId="0">
      <sharedItems containsSemiMixedTypes="0" containsString="0" containsNumber="1" minValue="-0.91298461049483604" maxValue="3.248376013314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n v="7"/>
    <n v="2.9999999999999997E-4"/>
    <n v="2.2599999999999999E-2"/>
    <n v="0.15140000000000001"/>
    <n v="3129.6654478976202"/>
    <n v="3620.8574040219301"/>
    <n v="0.156947112814974"/>
  </r>
  <r>
    <x v="0"/>
    <x v="1"/>
    <n v="13"/>
    <n v="1E-4"/>
    <n v="1.46E-2"/>
    <n v="0.1484"/>
    <n v="2924.5545999999899"/>
    <n v="4003.24"/>
    <n v="0.36883749751158701"/>
  </r>
  <r>
    <x v="0"/>
    <x v="2"/>
    <n v="3"/>
    <n v="2.0000000000000001E-4"/>
    <n v="2.1999999999999999E-2"/>
    <n v="0.14860000000000001"/>
    <n v="2970.9406249999902"/>
    <n v="3814.3020833333298"/>
    <n v="0.28387018280896498"/>
  </r>
  <r>
    <x v="0"/>
    <x v="3"/>
    <n v="5"/>
    <n v="2.3999999999999998E-3"/>
    <n v="2.8199999999999999E-2"/>
    <n v="0.1578"/>
    <n v="3325.7375455649999"/>
    <n v="4138.34021871202"/>
    <n v="0.24433758287110099"/>
  </r>
  <r>
    <x v="1"/>
    <x v="0"/>
    <n v="7"/>
    <n v="9.4999999999999998E-3"/>
    <n v="1.7299999999999999E-2"/>
    <n v="0.1484"/>
    <n v="8973.9349112426007"/>
    <n v="832.13609467455603"/>
    <n v="-0.90727188207794396"/>
  </r>
  <r>
    <x v="1"/>
    <x v="1"/>
    <n v="16"/>
    <n v="8.8000000000000005E-3"/>
    <n v="8.2000000000000007E-3"/>
    <n v="0.16300000000000001"/>
    <n v="8241.0416216216199"/>
    <n v="1248.7837837837801"/>
    <n v="-0.84846772518325697"/>
  </r>
  <r>
    <x v="1"/>
    <x v="2"/>
    <n v="4"/>
    <n v="1.0200000000000001E-2"/>
    <n v="2.1100000000000001E-2"/>
    <n v="0.15409999999999999"/>
    <n v="8838.8534883720895"/>
    <n v="769.11627906976696"/>
    <n v="-0.91298461049483604"/>
  </r>
  <r>
    <x v="1"/>
    <x v="3"/>
    <n v="1"/>
    <n v="0.01"/>
    <n v="0.02"/>
    <n v="0.17050000000000001"/>
    <n v="9785.6666666666606"/>
    <n v="1785"/>
    <n v="-0.817590353237728"/>
  </r>
  <r>
    <x v="2"/>
    <x v="1"/>
    <n v="27"/>
    <n v="3.0499999999999999E-2"/>
    <n v="1.4800000000000001E-2"/>
    <n v="0.21540000000000001"/>
    <n v="2296.1752380952298"/>
    <n v="4968.75"/>
    <n v="1.1639245635806701"/>
  </r>
  <r>
    <x v="2"/>
    <x v="2"/>
    <n v="1"/>
    <n v="3.2199999999999999E-2"/>
    <n v="3.2300000000000002E-2"/>
    <n v="0.2069"/>
    <n v="3066.1458333333298"/>
    <n v="4981"/>
    <n v="0.62451503312383205"/>
  </r>
  <r>
    <x v="3"/>
    <x v="0"/>
    <n v="4"/>
    <n v="5.1999999999999998E-3"/>
    <n v="2.12E-2"/>
    <n v="0.15160000000000001"/>
    <n v="5641.6054054054002"/>
    <n v="5309.0216216216204"/>
    <n v="-5.8951975525463801E-2"/>
  </r>
  <r>
    <x v="3"/>
    <x v="1"/>
    <n v="14"/>
    <n v="4.7000000000000002E-3"/>
    <n v="1.2699999999999999E-2"/>
    <n v="0.1047"/>
    <n v="5233.7059374999999"/>
    <n v="4842.90625"/>
    <n v="-7.4669783164522802E-2"/>
  </r>
  <r>
    <x v="3"/>
    <x v="2"/>
    <n v="9"/>
    <n v="3.0000000000000001E-3"/>
    <n v="9.2999999999999992E-3"/>
    <n v="0.1321"/>
    <n v="5009.4122302158203"/>
    <n v="4862.8129496402798"/>
    <n v="-2.9264766770696098E-2"/>
  </r>
  <r>
    <x v="3"/>
    <x v="3"/>
    <n v="1"/>
    <n v="5.0000000000000001E-3"/>
    <n v="3.0200000000000001E-2"/>
    <n v="0.13189999999999999"/>
    <n v="5695.7093023255802"/>
    <n v="4981"/>
    <n v="-0.12548205401454701"/>
  </r>
  <r>
    <x v="4"/>
    <x v="0"/>
    <n v="6"/>
    <n v="4.3E-3"/>
    <n v="3.0499999999999999E-2"/>
    <n v="7.0699999999999999E-2"/>
    <n v="6544.5574468085097"/>
    <n v="4962.15744680851"/>
    <n v="-0.24178869432518499"/>
  </r>
  <r>
    <x v="4"/>
    <x v="1"/>
    <n v="12"/>
    <n v="5.4999999999999997E-3"/>
    <n v="2.06E-2"/>
    <n v="6.8900000000000003E-2"/>
    <n v="6618.4397619047604"/>
    <n v="4992.3809523809496"/>
    <n v="-0.245686123621352"/>
  </r>
  <r>
    <x v="4"/>
    <x v="2"/>
    <n v="5"/>
    <n v="4.1000000000000003E-3"/>
    <n v="1.9400000000000001E-2"/>
    <n v="8.9399999999999993E-2"/>
    <n v="6575.8015873015802"/>
    <n v="4952.9365079364998"/>
    <n v="-0.24679349852936"/>
  </r>
  <r>
    <x v="4"/>
    <x v="3"/>
    <n v="5"/>
    <n v="5.1999999999999998E-3"/>
    <n v="2.4400000000000002E-2"/>
    <n v="9.1800000000000007E-2"/>
    <n v="7079.4540229884997"/>
    <n v="5101.9655172413704"/>
    <n v="-0.279327826598745"/>
  </r>
  <r>
    <x v="5"/>
    <x v="0"/>
    <n v="1"/>
    <n v="0.02"/>
    <n v="3.32E-2"/>
    <n v="0.13089999999999999"/>
    <n v="4052.5319148936101"/>
    <n v="7774"/>
    <n v="0.91830691608608195"/>
  </r>
  <r>
    <x v="5"/>
    <x v="1"/>
    <n v="17"/>
    <n v="2.0899999999999998E-2"/>
    <n v="1.2500000000000001E-2"/>
    <n v="0.1288"/>
    <n v="4401.3847619047601"/>
    <n v="7969.1666666666597"/>
    <n v="0.81060441151204699"/>
  </r>
  <r>
    <x v="5"/>
    <x v="2"/>
    <n v="10"/>
    <n v="1.8700000000000001E-2"/>
    <n v="2.1600000000000001E-2"/>
    <n v="0.16719999999999999"/>
    <n v="4295.1645833333296"/>
    <n v="7842"/>
    <n v="0.825774041448741"/>
  </r>
  <r>
    <x v="6"/>
    <x v="0"/>
    <n v="5"/>
    <n v="3.5999999999999999E-3"/>
    <n v="2.7E-2"/>
    <n v="0.1047"/>
    <n v="4134.3992248062004"/>
    <n v="2535.4883720930202"/>
    <n v="-0.38673354114420899"/>
  </r>
  <r>
    <x v="6"/>
    <x v="1"/>
    <n v="15"/>
    <n v="3.3999999999999998E-3"/>
    <n v="1.78E-2"/>
    <n v="9.8699999999999996E-2"/>
    <n v="3877.3120338982999"/>
    <n v="3002.6101694915201"/>
    <n v="-0.22559491130956"/>
  </r>
  <r>
    <x v="6"/>
    <x v="2"/>
    <n v="7"/>
    <n v="3.2000000000000002E-3"/>
    <n v="1.7100000000000001E-2"/>
    <n v="9.0499999999999997E-2"/>
    <n v="3949.2156716417899"/>
    <n v="3093.7910447761101"/>
    <n v="-0.216606206900331"/>
  </r>
  <r>
    <x v="6"/>
    <x v="3"/>
    <n v="1"/>
    <n v="5.0000000000000001E-3"/>
    <n v="2.5399999999999999E-2"/>
    <n v="0.13109999999999999"/>
    <n v="4539.2708333333303"/>
    <n v="2640"/>
    <n v="-0.41840879362966699"/>
  </r>
  <r>
    <x v="7"/>
    <x v="0"/>
    <n v="3"/>
    <n v="9.1000000000000004E-3"/>
    <n v="2.8400000000000002E-2"/>
    <n v="0.16520000000000001"/>
    <n v="3873.1038251366099"/>
    <n v="5215.0109289617403"/>
    <n v="0.346468146584685"/>
  </r>
  <r>
    <x v="7"/>
    <x v="1"/>
    <n v="13"/>
    <n v="8.6999999999999994E-3"/>
    <n v="9.7999999999999997E-3"/>
    <n v="0.1429"/>
    <n v="3947.5474647887299"/>
    <n v="5289.3098591549297"/>
    <n v="0.339897722911358"/>
  </r>
  <r>
    <x v="7"/>
    <x v="2"/>
    <n v="7"/>
    <n v="1.01E-2"/>
    <n v="2.0400000000000001E-2"/>
    <n v="0.1565"/>
    <n v="3892.7796874999999"/>
    <n v="4938.375"/>
    <n v="0.26859863553477797"/>
  </r>
  <r>
    <x v="7"/>
    <x v="3"/>
    <n v="5"/>
    <n v="8.3000000000000001E-3"/>
    <n v="2.7799999999999998E-2"/>
    <n v="0.15659999999999999"/>
    <n v="3839.2966360856199"/>
    <n v="5398.1620795107001"/>
    <n v="0.40602891393524199"/>
  </r>
  <r>
    <x v="8"/>
    <x v="0"/>
    <n v="5"/>
    <n v="3.3E-3"/>
    <n v="3.09E-2"/>
    <n v="0.1138"/>
    <n v="3494.4370179948501"/>
    <n v="5998.1028277634896"/>
    <n v="0.71647186567559396"/>
  </r>
  <r>
    <x v="8"/>
    <x v="1"/>
    <n v="17"/>
    <n v="2.5999999999999999E-3"/>
    <n v="1.44E-2"/>
    <n v="0.1065"/>
    <n v="3203.2849397590298"/>
    <n v="5815.1566265060201"/>
    <n v="0.81537288622955295"/>
  </r>
  <r>
    <x v="8"/>
    <x v="2"/>
    <n v="5"/>
    <n v="5.3E-3"/>
    <n v="1.9699999999999999E-2"/>
    <n v="0.1026"/>
    <n v="3641.7115646258499"/>
    <n v="5994.1360544217596"/>
    <n v="0.64596672417619205"/>
  </r>
  <r>
    <x v="8"/>
    <x v="3"/>
    <n v="1"/>
    <n v="4.1999999999999997E-3"/>
    <n v="3.1E-2"/>
    <n v="0.1386"/>
    <n v="2911.7769784172601"/>
    <n v="6094"/>
    <n v="1.09288006779711"/>
  </r>
  <r>
    <x v="9"/>
    <x v="0"/>
    <n v="3"/>
    <n v="2.7000000000000001E-3"/>
    <n v="2.2800000000000001E-2"/>
    <n v="4.7199999999999999E-2"/>
    <n v="3588.59459459459"/>
    <n v="2128.4459459459399"/>
    <n v="-0.40688592989802502"/>
  </r>
  <r>
    <x v="9"/>
    <x v="1"/>
    <n v="22"/>
    <n v="4.7999999999999996E-3"/>
    <n v="1.8100000000000002E-2"/>
    <n v="1.8499999999999999E-2"/>
    <n v="3127.1286516853902"/>
    <n v="1953.1011235955"/>
    <n v="-0.37543307578891399"/>
  </r>
  <r>
    <x v="9"/>
    <x v="2"/>
    <n v="3"/>
    <n v="3.3E-3"/>
    <n v="2.2700000000000001E-2"/>
    <n v="3.1300000000000001E-2"/>
    <n v="3377.9907894736798"/>
    <n v="2389.78947368421"/>
    <n v="-0.29254115164222799"/>
  </r>
  <r>
    <x v="10"/>
    <x v="0"/>
    <n v="9"/>
    <n v="1.01E-2"/>
    <n v="2.3E-2"/>
    <n v="0.18240000000000001"/>
    <n v="1906.0186046511601"/>
    <n v="8097.4837209302304"/>
    <n v="3.2483760133140001"/>
  </r>
  <r>
    <x v="10"/>
    <x v="1"/>
    <n v="13"/>
    <n v="7.6E-3"/>
    <n v="1.7899999999999999E-2"/>
    <n v="0.20250000000000001"/>
    <n v="1957.315398773"/>
    <n v="8038.46012269938"/>
    <n v="3.1068803360656601"/>
  </r>
  <r>
    <x v="10"/>
    <x v="2"/>
    <n v="4"/>
    <n v="1.1599999999999999E-2"/>
    <n v="1.09E-2"/>
    <n v="0.1928"/>
    <n v="2279.1931677018601"/>
    <n v="8190.1801242235997"/>
    <n v="2.59345589495683"/>
  </r>
  <r>
    <x v="10"/>
    <x v="3"/>
    <n v="2"/>
    <n v="1.2500000000000001E-2"/>
    <n v="3.3300000000000003E-2"/>
    <n v="0.21490000000000001"/>
    <n v="2568.8815533980501"/>
    <n v="7723.7864077669901"/>
    <n v="2.006672844666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2972E-C126-4011-AB27-B4E0A46256D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3" firstHeaderRow="1" firstDataRow="1" firstDataCol="1"/>
  <pivotFields count="9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oi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18967-CE25-4C63-A2A0-C9331CF173A3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A3:B7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conversion_rate" fld="5" subtotal="average" baseField="1" baseItem="3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BA593A-6101-45A3-90C7-ACDF6E3C0EF8}" name="Table3" displayName="Table3" ref="A1:C12" totalsRowShown="0" dataDxfId="13">
  <autoFilter ref="A1:C12" xr:uid="{0ABA593A-6101-45A3-90C7-ACDF6E3C0EF8}"/>
  <tableColumns count="3">
    <tableColumn id="1" xr3:uid="{BE5C62C2-5B24-4252-B4EE-B069A0BBB44E}" name="campaign_name" dataDxfId="12"/>
    <tableColumn id="2" xr3:uid="{2BE6FBFC-345B-408B-A701-48979C6E9D52}" name="cost_per_acquisition" dataDxfId="11"/>
    <tableColumn id="3" xr3:uid="{F222500F-C9C4-4F80-AE81-9BA9385A6150}" name="avg_order_value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2C7392-291B-472B-ADE1-2602657D3A75}" name="Table1" displayName="Table1" ref="A1:I41" totalsRowShown="0" dataDxfId="9">
  <autoFilter ref="A1:I41" xr:uid="{1E2C7392-291B-472B-ADE1-2602657D3A75}"/>
  <tableColumns count="9">
    <tableColumn id="1" xr3:uid="{4068C338-F716-430C-B2FC-B256B92FC0F6}" name="campaign_name" dataDxfId="8"/>
    <tableColumn id="2" xr3:uid="{17949741-47D7-4C81-971F-A5D0C50B642B}" name="spend_bucket" dataDxfId="7"/>
    <tableColumn id="3" xr3:uid="{6A26CF6E-D284-45B4-B6BB-DFEEFBD1A952}" name="bucket_count" dataDxfId="6"/>
    <tableColumn id="4" xr3:uid="{18057D54-D2F4-4895-A8E0-DE027DE96110}" name="clickthrough_rate" dataDxfId="5"/>
    <tableColumn id="5" xr3:uid="{4A087518-80D4-401A-A95F-4A26CF48998E}" name="lead_rate" dataDxfId="4"/>
    <tableColumn id="6" xr3:uid="{F93EC842-A4B9-4393-9D48-ABE2A60BC10C}" name="conversion_rate" dataDxfId="3"/>
    <tableColumn id="7" xr3:uid="{A72DF6D2-CF05-4E24-9CF3-5DE71F3BB196}" name="cost_per_acquisition" dataDxfId="2"/>
    <tableColumn id="8" xr3:uid="{B372414E-17C5-407D-B5C8-D911D1DA0ECF}" name="avg_order_value" dataDxfId="1"/>
    <tableColumn id="9" xr3:uid="{328CD072-8135-4EEA-A51B-F37388984734}" name="ro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80B4-ADCE-44D6-BDD9-069EA4EBBF35}">
  <dimension ref="A1:C12"/>
  <sheetViews>
    <sheetView tabSelected="1" zoomScale="89" zoomScaleNormal="82" workbookViewId="0">
      <selection activeCell="J18" sqref="J18"/>
    </sheetView>
  </sheetViews>
  <sheetFormatPr defaultRowHeight="14.4" x14ac:dyDescent="0.3"/>
  <cols>
    <col min="1" max="1" width="16.6640625" customWidth="1"/>
    <col min="2" max="2" width="20.33203125" customWidth="1"/>
    <col min="3" max="3" width="16.88671875" customWidth="1"/>
  </cols>
  <sheetData>
    <row r="1" spans="1:3" x14ac:dyDescent="0.3">
      <c r="A1" t="s">
        <v>15</v>
      </c>
      <c r="B1" t="s">
        <v>21</v>
      </c>
      <c r="C1" t="s">
        <v>23</v>
      </c>
    </row>
    <row r="2" spans="1:3" ht="28.8" x14ac:dyDescent="0.3">
      <c r="A2" s="1" t="s">
        <v>7</v>
      </c>
      <c r="B2" s="1">
        <v>5410.95670886076</v>
      </c>
      <c r="C2" s="1">
        <v>5055.7215189873396</v>
      </c>
    </row>
    <row r="3" spans="1:3" ht="28.8" x14ac:dyDescent="0.3">
      <c r="A3" s="1" t="s">
        <v>8</v>
      </c>
      <c r="B3" s="1">
        <v>6822.4868749999996</v>
      </c>
      <c r="C3" s="1">
        <v>5033.875</v>
      </c>
    </row>
    <row r="4" spans="1:3" ht="28.8" x14ac:dyDescent="0.3">
      <c r="A4" s="1" t="s">
        <v>9</v>
      </c>
      <c r="B4" s="1">
        <v>4270.4582206405603</v>
      </c>
      <c r="C4" s="1">
        <v>7849.6334519572902</v>
      </c>
    </row>
    <row r="5" spans="1:3" ht="28.8" x14ac:dyDescent="0.3">
      <c r="A5" s="1" t="s">
        <v>10</v>
      </c>
      <c r="B5" s="1">
        <v>4132.3607129798902</v>
      </c>
      <c r="C5" s="1">
        <v>2740.9835466179102</v>
      </c>
    </row>
    <row r="6" spans="1:3" ht="28.8" x14ac:dyDescent="0.3">
      <c r="A6" s="1" t="s">
        <v>14</v>
      </c>
      <c r="B6" s="1">
        <v>2120.1340177638399</v>
      </c>
      <c r="C6" s="1">
        <v>7999.7037617554797</v>
      </c>
    </row>
    <row r="7" spans="1:3" ht="28.8" x14ac:dyDescent="0.3">
      <c r="A7" s="1" t="s">
        <v>12</v>
      </c>
      <c r="B7" s="1">
        <v>3384.2707783641099</v>
      </c>
      <c r="C7" s="1">
        <v>5994.8865435356201</v>
      </c>
    </row>
    <row r="8" spans="1:3" ht="28.8" x14ac:dyDescent="0.3">
      <c r="A8" s="1" t="s">
        <v>13</v>
      </c>
      <c r="B8" s="1">
        <v>3406.2420127795499</v>
      </c>
      <c r="C8" s="1">
        <v>2142.0447284345</v>
      </c>
    </row>
    <row r="9" spans="1:3" ht="43.2" x14ac:dyDescent="0.3">
      <c r="A9" s="1" t="s">
        <v>6</v>
      </c>
      <c r="B9" s="1">
        <v>2467.2798148148099</v>
      </c>
      <c r="C9" s="1">
        <v>4971.4722222222199</v>
      </c>
    </row>
    <row r="10" spans="1:3" ht="28.8" x14ac:dyDescent="0.3">
      <c r="A10" s="1" t="s">
        <v>5</v>
      </c>
      <c r="B10" s="1">
        <v>8986.18789115646</v>
      </c>
      <c r="C10" s="1">
        <v>1021.2006802721</v>
      </c>
    </row>
    <row r="11" spans="1:3" ht="43.2" x14ac:dyDescent="0.3">
      <c r="A11" s="1" t="s">
        <v>11</v>
      </c>
      <c r="B11" s="1">
        <v>3861.2432454545401</v>
      </c>
      <c r="C11" s="1">
        <v>5280.4127272727201</v>
      </c>
    </row>
    <row r="12" spans="1:3" ht="28.8" x14ac:dyDescent="0.3">
      <c r="A12" s="1" t="s">
        <v>0</v>
      </c>
      <c r="B12" s="1">
        <v>3209.88171136653</v>
      </c>
      <c r="C12" s="1">
        <v>3929.09323116219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C00B-DC3E-4E28-A3F8-AA634BB50B09}">
  <dimension ref="A1:B13"/>
  <sheetViews>
    <sheetView zoomScale="109" workbookViewId="0">
      <selection activeCell="I25" sqref="I25"/>
    </sheetView>
  </sheetViews>
  <sheetFormatPr defaultRowHeight="14.4" x14ac:dyDescent="0.3"/>
  <cols>
    <col min="1" max="1" width="18.77734375" bestFit="1" customWidth="1"/>
    <col min="2" max="2" width="12.6640625" bestFit="1" customWidth="1"/>
  </cols>
  <sheetData>
    <row r="1" spans="1:2" x14ac:dyDescent="0.3">
      <c r="A1" s="3" t="s">
        <v>24</v>
      </c>
      <c r="B1" t="s">
        <v>26</v>
      </c>
    </row>
    <row r="2" spans="1:2" x14ac:dyDescent="0.3">
      <c r="A2" s="2" t="s">
        <v>0</v>
      </c>
      <c r="B2">
        <v>1.053992376006627</v>
      </c>
    </row>
    <row r="3" spans="1:2" x14ac:dyDescent="0.3">
      <c r="A3" s="2" t="s">
        <v>5</v>
      </c>
      <c r="B3">
        <v>-3.4863145709937653</v>
      </c>
    </row>
    <row r="4" spans="1:2" x14ac:dyDescent="0.3">
      <c r="A4" s="2" t="s">
        <v>6</v>
      </c>
      <c r="B4">
        <v>1.7884395967045021</v>
      </c>
    </row>
    <row r="5" spans="1:2" x14ac:dyDescent="0.3">
      <c r="A5" s="2" t="s">
        <v>7</v>
      </c>
      <c r="B5">
        <v>-0.2883685794752297</v>
      </c>
    </row>
    <row r="6" spans="1:2" x14ac:dyDescent="0.3">
      <c r="A6" s="2" t="s">
        <v>8</v>
      </c>
      <c r="B6">
        <v>-1.0135961430746421</v>
      </c>
    </row>
    <row r="7" spans="1:2" x14ac:dyDescent="0.3">
      <c r="A7" s="2" t="s">
        <v>9</v>
      </c>
      <c r="B7">
        <v>2.55468536904687</v>
      </c>
    </row>
    <row r="8" spans="1:2" x14ac:dyDescent="0.3">
      <c r="A8" s="2" t="s">
        <v>10</v>
      </c>
      <c r="B8">
        <v>-1.247343452983767</v>
      </c>
    </row>
    <row r="9" spans="1:2" x14ac:dyDescent="0.3">
      <c r="A9" s="2" t="s">
        <v>11</v>
      </c>
      <c r="B9">
        <v>1.3609934189660631</v>
      </c>
    </row>
    <row r="10" spans="1:2" x14ac:dyDescent="0.3">
      <c r="A10" s="2" t="s">
        <v>12</v>
      </c>
      <c r="B10">
        <v>3.2706915438784492</v>
      </c>
    </row>
    <row r="11" spans="1:2" x14ac:dyDescent="0.3">
      <c r="A11" s="2" t="s">
        <v>13</v>
      </c>
      <c r="B11">
        <v>-1.074860157329167</v>
      </c>
    </row>
    <row r="12" spans="1:2" x14ac:dyDescent="0.3">
      <c r="A12" s="2" t="s">
        <v>14</v>
      </c>
      <c r="B12">
        <v>10.955385089003121</v>
      </c>
    </row>
    <row r="13" spans="1:2" x14ac:dyDescent="0.3">
      <c r="A13" s="2" t="s">
        <v>25</v>
      </c>
      <c r="B13">
        <v>13.873704489749061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C494-4DC7-4B79-9168-69DCCE5F1E99}">
  <dimension ref="A3:B7"/>
  <sheetViews>
    <sheetView zoomScale="115" workbookViewId="0">
      <selection activeCell="H19" sqref="H19"/>
    </sheetView>
  </sheetViews>
  <sheetFormatPr defaultRowHeight="14.4" x14ac:dyDescent="0.3"/>
  <cols>
    <col min="1" max="1" width="15.109375" bestFit="1" customWidth="1"/>
    <col min="2" max="2" width="24.44140625" bestFit="1" customWidth="1"/>
  </cols>
  <sheetData>
    <row r="3" spans="1:2" x14ac:dyDescent="0.3">
      <c r="A3" s="3" t="s">
        <v>16</v>
      </c>
      <c r="B3" t="s">
        <v>27</v>
      </c>
    </row>
    <row r="4" spans="1:2" x14ac:dyDescent="0.3">
      <c r="A4" t="s">
        <v>2</v>
      </c>
      <c r="B4">
        <v>0.1271181818181818</v>
      </c>
    </row>
    <row r="5" spans="1:2" x14ac:dyDescent="0.3">
      <c r="A5" t="s">
        <v>3</v>
      </c>
      <c r="B5">
        <v>0.13381818181818184</v>
      </c>
    </row>
    <row r="6" spans="1:2" x14ac:dyDescent="0.3">
      <c r="A6" t="s">
        <v>1</v>
      </c>
      <c r="B6">
        <v>0.12662999999999996</v>
      </c>
    </row>
    <row r="7" spans="1:2" x14ac:dyDescent="0.3">
      <c r="A7" t="s">
        <v>4</v>
      </c>
      <c r="B7">
        <v>0.14915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1434-7879-469B-8238-9813A4F51B3E}">
  <dimension ref="A1:I41"/>
  <sheetViews>
    <sheetView topLeftCell="A2" zoomScale="78" workbookViewId="0">
      <selection activeCell="F15" sqref="F15"/>
    </sheetView>
  </sheetViews>
  <sheetFormatPr defaultRowHeight="14.4" x14ac:dyDescent="0.3"/>
  <cols>
    <col min="1" max="1" width="18.6640625" customWidth="1"/>
    <col min="2" max="2" width="14.77734375" customWidth="1"/>
    <col min="3" max="3" width="14.5546875" customWidth="1"/>
    <col min="4" max="4" width="17.6640625" customWidth="1"/>
    <col min="5" max="5" width="10.77734375" customWidth="1"/>
    <col min="6" max="6" width="16.44140625" customWidth="1"/>
    <col min="7" max="7" width="20.21875" customWidth="1"/>
    <col min="8" max="8" width="17" customWidth="1"/>
    <col min="9" max="9" width="12.21875" bestFit="1" customWidth="1"/>
  </cols>
  <sheetData>
    <row r="1" spans="1:9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23</v>
      </c>
      <c r="I1" t="s">
        <v>22</v>
      </c>
    </row>
    <row r="2" spans="1:9" ht="28.8" x14ac:dyDescent="0.3">
      <c r="A2" s="1" t="s">
        <v>0</v>
      </c>
      <c r="B2" s="1" t="s">
        <v>1</v>
      </c>
      <c r="C2" s="1">
        <v>7</v>
      </c>
      <c r="D2" s="1">
        <v>2.9999999999999997E-4</v>
      </c>
      <c r="E2" s="1">
        <v>2.2599999999999999E-2</v>
      </c>
      <c r="F2" s="1">
        <v>0.15140000000000001</v>
      </c>
      <c r="G2" s="1">
        <v>3129.6654478976202</v>
      </c>
      <c r="H2" s="1">
        <v>3620.8574040219301</v>
      </c>
      <c r="I2" s="1">
        <v>0.156947112814974</v>
      </c>
    </row>
    <row r="3" spans="1:9" ht="28.8" x14ac:dyDescent="0.3">
      <c r="A3" s="1" t="s">
        <v>0</v>
      </c>
      <c r="B3" s="1" t="s">
        <v>2</v>
      </c>
      <c r="C3" s="1">
        <v>13</v>
      </c>
      <c r="D3" s="1">
        <v>1E-4</v>
      </c>
      <c r="E3" s="1">
        <v>1.46E-2</v>
      </c>
      <c r="F3" s="1">
        <v>0.1484</v>
      </c>
      <c r="G3" s="1">
        <v>2924.5545999999899</v>
      </c>
      <c r="H3" s="1">
        <v>4003.24</v>
      </c>
      <c r="I3" s="1">
        <v>0.36883749751158701</v>
      </c>
    </row>
    <row r="4" spans="1:9" ht="28.8" x14ac:dyDescent="0.3">
      <c r="A4" s="1" t="s">
        <v>0</v>
      </c>
      <c r="B4" s="1" t="s">
        <v>3</v>
      </c>
      <c r="C4" s="1">
        <v>3</v>
      </c>
      <c r="D4" s="1">
        <v>2.0000000000000001E-4</v>
      </c>
      <c r="E4" s="1">
        <v>2.1999999999999999E-2</v>
      </c>
      <c r="F4" s="1">
        <v>0.14860000000000001</v>
      </c>
      <c r="G4" s="1">
        <v>2970.9406249999902</v>
      </c>
      <c r="H4" s="1">
        <v>3814.3020833333298</v>
      </c>
      <c r="I4" s="1">
        <v>0.28387018280896498</v>
      </c>
    </row>
    <row r="5" spans="1:9" ht="28.8" x14ac:dyDescent="0.3">
      <c r="A5" s="1" t="s">
        <v>0</v>
      </c>
      <c r="B5" s="1" t="s">
        <v>4</v>
      </c>
      <c r="C5" s="1">
        <v>5</v>
      </c>
      <c r="D5" s="1">
        <v>2.3999999999999998E-3</v>
      </c>
      <c r="E5" s="1">
        <v>2.8199999999999999E-2</v>
      </c>
      <c r="F5" s="1">
        <v>0.1578</v>
      </c>
      <c r="G5" s="1">
        <v>3325.7375455649999</v>
      </c>
      <c r="H5" s="1">
        <v>4138.34021871202</v>
      </c>
      <c r="I5" s="1">
        <v>0.24433758287110099</v>
      </c>
    </row>
    <row r="6" spans="1:9" ht="28.8" x14ac:dyDescent="0.3">
      <c r="A6" s="1" t="s">
        <v>5</v>
      </c>
      <c r="B6" s="1" t="s">
        <v>1</v>
      </c>
      <c r="C6" s="1">
        <v>7</v>
      </c>
      <c r="D6" s="1">
        <v>9.4999999999999998E-3</v>
      </c>
      <c r="E6" s="1">
        <v>1.7299999999999999E-2</v>
      </c>
      <c r="F6" s="1">
        <v>0.1484</v>
      </c>
      <c r="G6" s="1">
        <v>8973.9349112426007</v>
      </c>
      <c r="H6" s="1">
        <v>832.13609467455603</v>
      </c>
      <c r="I6" s="1">
        <v>-0.90727188207794396</v>
      </c>
    </row>
    <row r="7" spans="1:9" ht="28.8" x14ac:dyDescent="0.3">
      <c r="A7" s="1" t="s">
        <v>5</v>
      </c>
      <c r="B7" s="1" t="s">
        <v>2</v>
      </c>
      <c r="C7" s="1">
        <v>16</v>
      </c>
      <c r="D7" s="1">
        <v>8.8000000000000005E-3</v>
      </c>
      <c r="E7" s="1">
        <v>8.2000000000000007E-3</v>
      </c>
      <c r="F7" s="1">
        <v>0.16300000000000001</v>
      </c>
      <c r="G7" s="1">
        <v>8241.0416216216199</v>
      </c>
      <c r="H7" s="1">
        <v>1248.7837837837801</v>
      </c>
      <c r="I7" s="1">
        <v>-0.84846772518325697</v>
      </c>
    </row>
    <row r="8" spans="1:9" ht="28.8" x14ac:dyDescent="0.3">
      <c r="A8" s="1" t="s">
        <v>5</v>
      </c>
      <c r="B8" s="1" t="s">
        <v>3</v>
      </c>
      <c r="C8" s="1">
        <v>4</v>
      </c>
      <c r="D8" s="1">
        <v>1.0200000000000001E-2</v>
      </c>
      <c r="E8" s="1">
        <v>2.1100000000000001E-2</v>
      </c>
      <c r="F8" s="1">
        <v>0.15409999999999999</v>
      </c>
      <c r="G8" s="1">
        <v>8838.8534883720895</v>
      </c>
      <c r="H8" s="1">
        <v>769.11627906976696</v>
      </c>
      <c r="I8" s="1">
        <v>-0.91298461049483604</v>
      </c>
    </row>
    <row r="9" spans="1:9" ht="28.8" x14ac:dyDescent="0.3">
      <c r="A9" s="1" t="s">
        <v>5</v>
      </c>
      <c r="B9" s="1" t="s">
        <v>4</v>
      </c>
      <c r="C9" s="1">
        <v>1</v>
      </c>
      <c r="D9" s="1">
        <v>0.01</v>
      </c>
      <c r="E9" s="1">
        <v>0.02</v>
      </c>
      <c r="F9" s="1">
        <v>0.17050000000000001</v>
      </c>
      <c r="G9" s="1">
        <v>9785.6666666666606</v>
      </c>
      <c r="H9" s="1">
        <v>1785</v>
      </c>
      <c r="I9" s="1">
        <v>-0.817590353237728</v>
      </c>
    </row>
    <row r="10" spans="1:9" x14ac:dyDescent="0.3">
      <c r="A10" s="1" t="s">
        <v>6</v>
      </c>
      <c r="B10" s="1" t="s">
        <v>2</v>
      </c>
      <c r="C10" s="1">
        <v>27</v>
      </c>
      <c r="D10" s="1">
        <v>3.0499999999999999E-2</v>
      </c>
      <c r="E10" s="1">
        <v>1.4800000000000001E-2</v>
      </c>
      <c r="F10" s="1">
        <v>0.21540000000000001</v>
      </c>
      <c r="G10" s="1">
        <v>2296.1752380952298</v>
      </c>
      <c r="H10" s="1">
        <v>4968.75</v>
      </c>
      <c r="I10" s="1">
        <v>1.1639245635806701</v>
      </c>
    </row>
    <row r="11" spans="1:9" x14ac:dyDescent="0.3">
      <c r="A11" s="1" t="s">
        <v>6</v>
      </c>
      <c r="B11" s="1" t="s">
        <v>3</v>
      </c>
      <c r="C11" s="1">
        <v>1</v>
      </c>
      <c r="D11" s="1">
        <v>3.2199999999999999E-2</v>
      </c>
      <c r="E11" s="1">
        <v>3.2300000000000002E-2</v>
      </c>
      <c r="F11" s="1">
        <v>0.2069</v>
      </c>
      <c r="G11" s="1">
        <v>3066.1458333333298</v>
      </c>
      <c r="H11" s="1">
        <v>4981</v>
      </c>
      <c r="I11" s="1">
        <v>0.62451503312383205</v>
      </c>
    </row>
    <row r="12" spans="1:9" x14ac:dyDescent="0.3">
      <c r="A12" s="1" t="s">
        <v>7</v>
      </c>
      <c r="B12" s="1" t="s">
        <v>1</v>
      </c>
      <c r="C12" s="1">
        <v>4</v>
      </c>
      <c r="D12" s="1">
        <v>5.1999999999999998E-3</v>
      </c>
      <c r="E12" s="1">
        <v>2.12E-2</v>
      </c>
      <c r="F12" s="1">
        <v>0.15160000000000001</v>
      </c>
      <c r="G12" s="1">
        <v>5641.6054054054002</v>
      </c>
      <c r="H12" s="1">
        <v>5309.0216216216204</v>
      </c>
      <c r="I12" s="1">
        <v>-5.8951975525463801E-2</v>
      </c>
    </row>
    <row r="13" spans="1:9" ht="28.8" x14ac:dyDescent="0.3">
      <c r="A13" s="1" t="s">
        <v>7</v>
      </c>
      <c r="B13" s="1" t="s">
        <v>2</v>
      </c>
      <c r="C13" s="1">
        <v>14</v>
      </c>
      <c r="D13" s="1">
        <v>4.7000000000000002E-3</v>
      </c>
      <c r="E13" s="1">
        <v>1.2699999999999999E-2</v>
      </c>
      <c r="F13" s="1">
        <v>0.1047</v>
      </c>
      <c r="G13" s="1">
        <v>5233.7059374999999</v>
      </c>
      <c r="H13" s="1">
        <v>4842.90625</v>
      </c>
      <c r="I13" s="1">
        <v>-7.4669783164522802E-2</v>
      </c>
    </row>
    <row r="14" spans="1:9" ht="28.8" x14ac:dyDescent="0.3">
      <c r="A14" s="1" t="s">
        <v>7</v>
      </c>
      <c r="B14" s="1" t="s">
        <v>3</v>
      </c>
      <c r="C14" s="1">
        <v>9</v>
      </c>
      <c r="D14" s="1">
        <v>3.0000000000000001E-3</v>
      </c>
      <c r="E14" s="1">
        <v>9.2999999999999992E-3</v>
      </c>
      <c r="F14" s="1">
        <v>0.1321</v>
      </c>
      <c r="G14" s="1">
        <v>5009.4122302158203</v>
      </c>
      <c r="H14" s="1">
        <v>4862.8129496402798</v>
      </c>
      <c r="I14" s="1">
        <v>-2.9264766770696098E-2</v>
      </c>
    </row>
    <row r="15" spans="1:9" ht="28.8" x14ac:dyDescent="0.3">
      <c r="A15" s="1" t="s">
        <v>7</v>
      </c>
      <c r="B15" s="1" t="s">
        <v>4</v>
      </c>
      <c r="C15" s="1">
        <v>1</v>
      </c>
      <c r="D15" s="1">
        <v>5.0000000000000001E-3</v>
      </c>
      <c r="E15" s="1">
        <v>3.0200000000000001E-2</v>
      </c>
      <c r="F15" s="1">
        <v>0.13189999999999999</v>
      </c>
      <c r="G15" s="1">
        <v>5695.7093023255802</v>
      </c>
      <c r="H15" s="1">
        <v>4981</v>
      </c>
      <c r="I15" s="1">
        <v>-0.12548205401454701</v>
      </c>
    </row>
    <row r="16" spans="1:9" ht="28.8" x14ac:dyDescent="0.3">
      <c r="A16" s="1" t="s">
        <v>8</v>
      </c>
      <c r="B16" s="1" t="s">
        <v>1</v>
      </c>
      <c r="C16" s="1">
        <v>6</v>
      </c>
      <c r="D16" s="1">
        <v>4.3E-3</v>
      </c>
      <c r="E16" s="1">
        <v>3.0499999999999999E-2</v>
      </c>
      <c r="F16" s="1">
        <v>7.0699999999999999E-2</v>
      </c>
      <c r="G16" s="1">
        <v>6544.5574468085097</v>
      </c>
      <c r="H16" s="1">
        <v>4962.15744680851</v>
      </c>
      <c r="I16" s="1">
        <v>-0.24178869432518499</v>
      </c>
    </row>
    <row r="17" spans="1:9" ht="28.8" x14ac:dyDescent="0.3">
      <c r="A17" s="1" t="s">
        <v>8</v>
      </c>
      <c r="B17" s="1" t="s">
        <v>2</v>
      </c>
      <c r="C17" s="1">
        <v>12</v>
      </c>
      <c r="D17" s="1">
        <v>5.4999999999999997E-3</v>
      </c>
      <c r="E17" s="1">
        <v>2.06E-2</v>
      </c>
      <c r="F17" s="1">
        <v>6.8900000000000003E-2</v>
      </c>
      <c r="G17" s="1">
        <v>6618.4397619047604</v>
      </c>
      <c r="H17" s="1">
        <v>4992.3809523809496</v>
      </c>
      <c r="I17" s="1">
        <v>-0.245686123621352</v>
      </c>
    </row>
    <row r="18" spans="1:9" ht="28.8" x14ac:dyDescent="0.3">
      <c r="A18" s="1" t="s">
        <v>8</v>
      </c>
      <c r="B18" s="1" t="s">
        <v>3</v>
      </c>
      <c r="C18" s="1">
        <v>5</v>
      </c>
      <c r="D18" s="1">
        <v>4.1000000000000003E-3</v>
      </c>
      <c r="E18" s="1">
        <v>1.9400000000000001E-2</v>
      </c>
      <c r="F18" s="1">
        <v>8.9399999999999993E-2</v>
      </c>
      <c r="G18" s="1">
        <v>6575.8015873015802</v>
      </c>
      <c r="H18" s="1">
        <v>4952.9365079364998</v>
      </c>
      <c r="I18" s="1">
        <v>-0.24679349852936</v>
      </c>
    </row>
    <row r="19" spans="1:9" x14ac:dyDescent="0.3">
      <c r="A19" s="1" t="s">
        <v>8</v>
      </c>
      <c r="B19" s="1" t="s">
        <v>4</v>
      </c>
      <c r="C19" s="1">
        <v>5</v>
      </c>
      <c r="D19" s="1">
        <v>5.1999999999999998E-3</v>
      </c>
      <c r="E19" s="1">
        <v>2.4400000000000002E-2</v>
      </c>
      <c r="F19" s="1">
        <v>9.1800000000000007E-2</v>
      </c>
      <c r="G19" s="1">
        <v>7079.4540229884997</v>
      </c>
      <c r="H19" s="1">
        <v>5101.9655172413704</v>
      </c>
      <c r="I19" s="1">
        <v>-0.279327826598745</v>
      </c>
    </row>
    <row r="20" spans="1:9" x14ac:dyDescent="0.3">
      <c r="A20" s="1" t="s">
        <v>9</v>
      </c>
      <c r="B20" s="1" t="s">
        <v>1</v>
      </c>
      <c r="C20" s="1">
        <v>1</v>
      </c>
      <c r="D20" s="1">
        <v>0.02</v>
      </c>
      <c r="E20" s="1">
        <v>3.32E-2</v>
      </c>
      <c r="F20" s="1">
        <v>0.13089999999999999</v>
      </c>
      <c r="G20" s="1">
        <v>4052.5319148936101</v>
      </c>
      <c r="H20" s="1">
        <v>7774</v>
      </c>
      <c r="I20" s="1">
        <v>0.91830691608608195</v>
      </c>
    </row>
    <row r="21" spans="1:9" x14ac:dyDescent="0.3">
      <c r="A21" s="1" t="s">
        <v>9</v>
      </c>
      <c r="B21" s="1" t="s">
        <v>2</v>
      </c>
      <c r="C21" s="1">
        <v>17</v>
      </c>
      <c r="D21" s="1">
        <v>2.0899999999999998E-2</v>
      </c>
      <c r="E21" s="1">
        <v>1.2500000000000001E-2</v>
      </c>
      <c r="F21" s="1">
        <v>0.1288</v>
      </c>
      <c r="G21" s="1">
        <v>4401.3847619047601</v>
      </c>
      <c r="H21" s="1">
        <v>7969.1666666666597</v>
      </c>
      <c r="I21" s="1">
        <v>0.81060441151204699</v>
      </c>
    </row>
    <row r="22" spans="1:9" x14ac:dyDescent="0.3">
      <c r="A22" s="1" t="s">
        <v>9</v>
      </c>
      <c r="B22" s="1" t="s">
        <v>3</v>
      </c>
      <c r="C22" s="1">
        <v>10</v>
      </c>
      <c r="D22" s="1">
        <v>1.8700000000000001E-2</v>
      </c>
      <c r="E22" s="1">
        <v>2.1600000000000001E-2</v>
      </c>
      <c r="F22" s="1">
        <v>0.16719999999999999</v>
      </c>
      <c r="G22" s="1">
        <v>4295.1645833333296</v>
      </c>
      <c r="H22" s="1">
        <v>7842</v>
      </c>
      <c r="I22" s="1">
        <v>0.825774041448741</v>
      </c>
    </row>
    <row r="23" spans="1:9" x14ac:dyDescent="0.3">
      <c r="A23" s="1" t="s">
        <v>10</v>
      </c>
      <c r="B23" s="1" t="s">
        <v>1</v>
      </c>
      <c r="C23" s="1">
        <v>5</v>
      </c>
      <c r="D23" s="1">
        <v>3.5999999999999999E-3</v>
      </c>
      <c r="E23" s="1">
        <v>2.7E-2</v>
      </c>
      <c r="F23" s="1">
        <v>0.1047</v>
      </c>
      <c r="G23" s="1">
        <v>4134.3992248062004</v>
      </c>
      <c r="H23" s="1">
        <v>2535.4883720930202</v>
      </c>
      <c r="I23" s="1">
        <v>-0.38673354114420899</v>
      </c>
    </row>
    <row r="24" spans="1:9" x14ac:dyDescent="0.3">
      <c r="A24" s="1" t="s">
        <v>10</v>
      </c>
      <c r="B24" s="1" t="s">
        <v>2</v>
      </c>
      <c r="C24" s="1">
        <v>15</v>
      </c>
      <c r="D24" s="1">
        <v>3.3999999999999998E-3</v>
      </c>
      <c r="E24" s="1">
        <v>1.78E-2</v>
      </c>
      <c r="F24" s="1">
        <v>9.8699999999999996E-2</v>
      </c>
      <c r="G24" s="1">
        <v>3877.3120338982999</v>
      </c>
      <c r="H24" s="1">
        <v>3002.6101694915201</v>
      </c>
      <c r="I24" s="1">
        <v>-0.22559491130956</v>
      </c>
    </row>
    <row r="25" spans="1:9" x14ac:dyDescent="0.3">
      <c r="A25" s="1" t="s">
        <v>10</v>
      </c>
      <c r="B25" s="1" t="s">
        <v>3</v>
      </c>
      <c r="C25" s="1">
        <v>7</v>
      </c>
      <c r="D25" s="1">
        <v>3.2000000000000002E-3</v>
      </c>
      <c r="E25" s="1">
        <v>1.7100000000000001E-2</v>
      </c>
      <c r="F25" s="1">
        <v>9.0499999999999997E-2</v>
      </c>
      <c r="G25" s="1">
        <v>3949.2156716417899</v>
      </c>
      <c r="H25" s="1">
        <v>3093.7910447761101</v>
      </c>
      <c r="I25" s="1">
        <v>-0.216606206900331</v>
      </c>
    </row>
    <row r="26" spans="1:9" x14ac:dyDescent="0.3">
      <c r="A26" s="1" t="s">
        <v>10</v>
      </c>
      <c r="B26" s="1" t="s">
        <v>4</v>
      </c>
      <c r="C26" s="1">
        <v>1</v>
      </c>
      <c r="D26" s="1">
        <v>5.0000000000000001E-3</v>
      </c>
      <c r="E26" s="1">
        <v>2.5399999999999999E-2</v>
      </c>
      <c r="F26" s="1">
        <v>0.13109999999999999</v>
      </c>
      <c r="G26" s="1">
        <v>4539.2708333333303</v>
      </c>
      <c r="H26" s="1">
        <v>2640</v>
      </c>
      <c r="I26" s="1">
        <v>-0.41840879362966699</v>
      </c>
    </row>
    <row r="27" spans="1:9" x14ac:dyDescent="0.3">
      <c r="A27" s="1" t="s">
        <v>11</v>
      </c>
      <c r="B27" s="1" t="s">
        <v>1</v>
      </c>
      <c r="C27" s="1">
        <v>3</v>
      </c>
      <c r="D27" s="1">
        <v>9.1000000000000004E-3</v>
      </c>
      <c r="E27" s="1">
        <v>2.8400000000000002E-2</v>
      </c>
      <c r="F27" s="1">
        <v>0.16520000000000001</v>
      </c>
      <c r="G27" s="1">
        <v>3873.1038251366099</v>
      </c>
      <c r="H27" s="1">
        <v>5215.0109289617403</v>
      </c>
      <c r="I27" s="1">
        <v>0.346468146584685</v>
      </c>
    </row>
    <row r="28" spans="1:9" x14ac:dyDescent="0.3">
      <c r="A28" s="1" t="s">
        <v>11</v>
      </c>
      <c r="B28" s="1" t="s">
        <v>2</v>
      </c>
      <c r="C28" s="1">
        <v>13</v>
      </c>
      <c r="D28" s="1">
        <v>8.6999999999999994E-3</v>
      </c>
      <c r="E28" s="1">
        <v>9.7999999999999997E-3</v>
      </c>
      <c r="F28" s="1">
        <v>0.1429</v>
      </c>
      <c r="G28" s="1">
        <v>3947.5474647887299</v>
      </c>
      <c r="H28" s="1">
        <v>5289.3098591549297</v>
      </c>
      <c r="I28" s="1">
        <v>0.339897722911358</v>
      </c>
    </row>
    <row r="29" spans="1:9" x14ac:dyDescent="0.3">
      <c r="A29" s="1" t="s">
        <v>11</v>
      </c>
      <c r="B29" s="1" t="s">
        <v>3</v>
      </c>
      <c r="C29" s="1">
        <v>7</v>
      </c>
      <c r="D29" s="1">
        <v>1.01E-2</v>
      </c>
      <c r="E29" s="1">
        <v>2.0400000000000001E-2</v>
      </c>
      <c r="F29" s="1">
        <v>0.1565</v>
      </c>
      <c r="G29" s="1">
        <v>3892.7796874999999</v>
      </c>
      <c r="H29" s="1">
        <v>4938.375</v>
      </c>
      <c r="I29" s="1">
        <v>0.26859863553477797</v>
      </c>
    </row>
    <row r="30" spans="1:9" x14ac:dyDescent="0.3">
      <c r="A30" s="1" t="s">
        <v>11</v>
      </c>
      <c r="B30" s="1" t="s">
        <v>4</v>
      </c>
      <c r="C30" s="1">
        <v>5</v>
      </c>
      <c r="D30" s="1">
        <v>8.3000000000000001E-3</v>
      </c>
      <c r="E30" s="1">
        <v>2.7799999999999998E-2</v>
      </c>
      <c r="F30" s="1">
        <v>0.15659999999999999</v>
      </c>
      <c r="G30" s="1">
        <v>3839.2966360856199</v>
      </c>
      <c r="H30" s="1">
        <v>5398.1620795107001</v>
      </c>
      <c r="I30" s="1">
        <v>0.40602891393524199</v>
      </c>
    </row>
    <row r="31" spans="1:9" x14ac:dyDescent="0.3">
      <c r="A31" s="1" t="s">
        <v>12</v>
      </c>
      <c r="B31" s="1" t="s">
        <v>1</v>
      </c>
      <c r="C31" s="1">
        <v>5</v>
      </c>
      <c r="D31" s="1">
        <v>3.3E-3</v>
      </c>
      <c r="E31" s="1">
        <v>3.09E-2</v>
      </c>
      <c r="F31" s="1">
        <v>0.1138</v>
      </c>
      <c r="G31" s="1">
        <v>3494.4370179948501</v>
      </c>
      <c r="H31" s="1">
        <v>5998.1028277634896</v>
      </c>
      <c r="I31" s="1">
        <v>0.71647186567559396</v>
      </c>
    </row>
    <row r="32" spans="1:9" x14ac:dyDescent="0.3">
      <c r="A32" s="1" t="s">
        <v>12</v>
      </c>
      <c r="B32" s="1" t="s">
        <v>2</v>
      </c>
      <c r="C32" s="1">
        <v>17</v>
      </c>
      <c r="D32" s="1">
        <v>2.5999999999999999E-3</v>
      </c>
      <c r="E32" s="1">
        <v>1.44E-2</v>
      </c>
      <c r="F32" s="1">
        <v>0.1065</v>
      </c>
      <c r="G32" s="1">
        <v>3203.2849397590298</v>
      </c>
      <c r="H32" s="1">
        <v>5815.1566265060201</v>
      </c>
      <c r="I32" s="1">
        <v>0.81537288622955295</v>
      </c>
    </row>
    <row r="33" spans="1:9" x14ac:dyDescent="0.3">
      <c r="A33" s="1" t="s">
        <v>12</v>
      </c>
      <c r="B33" s="1" t="s">
        <v>3</v>
      </c>
      <c r="C33" s="1">
        <v>5</v>
      </c>
      <c r="D33" s="1">
        <v>5.3E-3</v>
      </c>
      <c r="E33" s="1">
        <v>1.9699999999999999E-2</v>
      </c>
      <c r="F33" s="1">
        <v>0.1026</v>
      </c>
      <c r="G33" s="1">
        <v>3641.7115646258499</v>
      </c>
      <c r="H33" s="1">
        <v>5994.1360544217596</v>
      </c>
      <c r="I33" s="1">
        <v>0.64596672417619205</v>
      </c>
    </row>
    <row r="34" spans="1:9" x14ac:dyDescent="0.3">
      <c r="A34" s="1" t="s">
        <v>12</v>
      </c>
      <c r="B34" s="1" t="s">
        <v>4</v>
      </c>
      <c r="C34" s="1">
        <v>1</v>
      </c>
      <c r="D34" s="1">
        <v>4.1999999999999997E-3</v>
      </c>
      <c r="E34" s="1">
        <v>3.1E-2</v>
      </c>
      <c r="F34" s="1">
        <v>0.1386</v>
      </c>
      <c r="G34" s="1">
        <v>2911.7769784172601</v>
      </c>
      <c r="H34" s="1">
        <v>6094</v>
      </c>
      <c r="I34" s="1">
        <v>1.09288006779711</v>
      </c>
    </row>
    <row r="35" spans="1:9" x14ac:dyDescent="0.3">
      <c r="A35" s="1" t="s">
        <v>13</v>
      </c>
      <c r="B35" s="1" t="s">
        <v>1</v>
      </c>
      <c r="C35" s="1">
        <v>3</v>
      </c>
      <c r="D35" s="1">
        <v>2.7000000000000001E-3</v>
      </c>
      <c r="E35" s="1">
        <v>2.2800000000000001E-2</v>
      </c>
      <c r="F35" s="1">
        <v>4.7199999999999999E-2</v>
      </c>
      <c r="G35" s="1">
        <v>3588.59459459459</v>
      </c>
      <c r="H35" s="1">
        <v>2128.4459459459399</v>
      </c>
      <c r="I35" s="1">
        <v>-0.40688592989802502</v>
      </c>
    </row>
    <row r="36" spans="1:9" x14ac:dyDescent="0.3">
      <c r="A36" s="1" t="s">
        <v>13</v>
      </c>
      <c r="B36" s="1" t="s">
        <v>2</v>
      </c>
      <c r="C36" s="1">
        <v>22</v>
      </c>
      <c r="D36" s="1">
        <v>4.7999999999999996E-3</v>
      </c>
      <c r="E36" s="1">
        <v>1.8100000000000002E-2</v>
      </c>
      <c r="F36" s="1">
        <v>1.8499999999999999E-2</v>
      </c>
      <c r="G36" s="1">
        <v>3127.1286516853902</v>
      </c>
      <c r="H36" s="1">
        <v>1953.1011235955</v>
      </c>
      <c r="I36" s="1">
        <v>-0.37543307578891399</v>
      </c>
    </row>
    <row r="37" spans="1:9" x14ac:dyDescent="0.3">
      <c r="A37" s="1" t="s">
        <v>13</v>
      </c>
      <c r="B37" s="1" t="s">
        <v>3</v>
      </c>
      <c r="C37" s="1">
        <v>3</v>
      </c>
      <c r="D37" s="1">
        <v>3.3E-3</v>
      </c>
      <c r="E37" s="1">
        <v>2.2700000000000001E-2</v>
      </c>
      <c r="F37" s="1">
        <v>3.1300000000000001E-2</v>
      </c>
      <c r="G37" s="1">
        <v>3377.9907894736798</v>
      </c>
      <c r="H37" s="1">
        <v>2389.78947368421</v>
      </c>
      <c r="I37" s="1">
        <v>-0.29254115164222799</v>
      </c>
    </row>
    <row r="38" spans="1:9" x14ac:dyDescent="0.3">
      <c r="A38" s="1" t="s">
        <v>14</v>
      </c>
      <c r="B38" s="1" t="s">
        <v>1</v>
      </c>
      <c r="C38" s="1">
        <v>9</v>
      </c>
      <c r="D38" s="1">
        <v>1.01E-2</v>
      </c>
      <c r="E38" s="1">
        <v>2.3E-2</v>
      </c>
      <c r="F38" s="1">
        <v>0.18240000000000001</v>
      </c>
      <c r="G38" s="1">
        <v>1906.0186046511601</v>
      </c>
      <c r="H38" s="1">
        <v>8097.4837209302304</v>
      </c>
      <c r="I38" s="1">
        <v>3.2483760133140001</v>
      </c>
    </row>
    <row r="39" spans="1:9" x14ac:dyDescent="0.3">
      <c r="A39" s="1" t="s">
        <v>14</v>
      </c>
      <c r="B39" s="1" t="s">
        <v>2</v>
      </c>
      <c r="C39" s="1">
        <v>13</v>
      </c>
      <c r="D39" s="1">
        <v>7.6E-3</v>
      </c>
      <c r="E39" s="1">
        <v>1.7899999999999999E-2</v>
      </c>
      <c r="F39" s="1">
        <v>0.20250000000000001</v>
      </c>
      <c r="G39" s="1">
        <v>1957.315398773</v>
      </c>
      <c r="H39" s="1">
        <v>8038.46012269938</v>
      </c>
      <c r="I39" s="1">
        <v>3.1068803360656601</v>
      </c>
    </row>
    <row r="40" spans="1:9" x14ac:dyDescent="0.3">
      <c r="A40" s="1" t="s">
        <v>14</v>
      </c>
      <c r="B40" s="1" t="s">
        <v>3</v>
      </c>
      <c r="C40" s="1">
        <v>4</v>
      </c>
      <c r="D40" s="1">
        <v>1.1599999999999999E-2</v>
      </c>
      <c r="E40" s="1">
        <v>1.09E-2</v>
      </c>
      <c r="F40" s="1">
        <v>0.1928</v>
      </c>
      <c r="G40" s="1">
        <v>2279.1931677018601</v>
      </c>
      <c r="H40" s="1">
        <v>8190.1801242235997</v>
      </c>
      <c r="I40" s="1">
        <v>2.59345589495683</v>
      </c>
    </row>
    <row r="41" spans="1:9" x14ac:dyDescent="0.3">
      <c r="A41" s="1" t="s">
        <v>14</v>
      </c>
      <c r="B41" s="1" t="s">
        <v>4</v>
      </c>
      <c r="C41" s="1">
        <v>2</v>
      </c>
      <c r="D41" s="1">
        <v>1.2500000000000001E-2</v>
      </c>
      <c r="E41" s="1">
        <v>3.3300000000000003E-2</v>
      </c>
      <c r="F41" s="1">
        <v>0.21490000000000001</v>
      </c>
      <c r="G41" s="1">
        <v>2568.8815533980501</v>
      </c>
      <c r="H41" s="1">
        <v>7723.7864077669901</v>
      </c>
      <c r="I41" s="1">
        <v>2.00667284466663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Cost_vs_Value</vt:lpstr>
      <vt:lpstr>Profitability_Analysis</vt:lpstr>
      <vt:lpstr>Conversion_Analysis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T</dc:creator>
  <cp:lastModifiedBy>Charan T</cp:lastModifiedBy>
  <dcterms:created xsi:type="dcterms:W3CDTF">2026-03-29T04:35:15Z</dcterms:created>
  <dcterms:modified xsi:type="dcterms:W3CDTF">2026-05-15T06:55:14Z</dcterms:modified>
</cp:coreProperties>
</file>